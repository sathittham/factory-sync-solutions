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125F88E-AEF5-407E-8371-7429363AB221}" xr6:coauthVersionLast="47" xr6:coauthVersionMax="47" xr10:uidLastSave="{00000000-0000-0000-0000-000000000000}"/>
  <bookViews>
    <workbookView xWindow="38235" yWindow="-1200" windowWidth="29130" windowHeight="15810" xr2:uid="{00000000-000D-0000-FFFF-FFFF00000000}"/>
  </bookViews>
  <sheets>
    <sheet name="หัวข้อประเมิน" sheetId="9" r:id="rId1"/>
    <sheet name="สรุป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9" l="1"/>
  <c r="N33" i="9" l="1"/>
  <c r="C14" i="10" s="1"/>
  <c r="N30" i="9"/>
  <c r="C12" i="10" s="1"/>
  <c r="N28" i="9"/>
  <c r="C11" i="10" s="1"/>
  <c r="N25" i="9"/>
  <c r="C10" i="10" s="1"/>
  <c r="N23" i="9"/>
  <c r="C9" i="10" s="1"/>
  <c r="N22" i="9"/>
  <c r="N19" i="9"/>
  <c r="C7" i="10" s="1"/>
  <c r="N16" i="9"/>
  <c r="C6" i="10" s="1"/>
  <c r="N13" i="9"/>
  <c r="C5" i="10" s="1"/>
  <c r="N11" i="9"/>
  <c r="C4" i="10" s="1"/>
  <c r="N9" i="9"/>
  <c r="C3" i="10" s="1"/>
  <c r="C13" i="10" l="1"/>
  <c r="C8" i="10"/>
  <c r="C1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1" authorId="0" shapeId="0" xr:uid="{00000000-0006-0000-00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By ; อ.ปราโมช  วิเศษโวหาร</t>
        </r>
      </text>
    </comment>
  </commentList>
</comments>
</file>

<file path=xl/sharedStrings.xml><?xml version="1.0" encoding="utf-8"?>
<sst xmlns="http://schemas.openxmlformats.org/spreadsheetml/2006/main" count="205" uniqueCount="205">
  <si>
    <t>ค่าคะแนน</t>
  </si>
  <si>
    <t>คะแนนสรุป</t>
  </si>
  <si>
    <t>หัวข้อหลัก</t>
  </si>
  <si>
    <t xml:space="preserve">รายละเอียด </t>
  </si>
  <si>
    <t>หัวข้อ</t>
  </si>
  <si>
    <t>ก่อน</t>
  </si>
  <si>
    <t>การควบคุมด้วยการมอง(5S,VC)และการจัดการสถานที่ทำงาน</t>
  </si>
  <si>
    <t>นโยบายและการสื่อสารนโยบาย (Communication and Cultural Awareness)</t>
  </si>
  <si>
    <t>1) วิสัยทัศน์และแผนการ</t>
  </si>
  <si>
    <t>2) การแปลงนโยบายสู่การปฏิบัติ</t>
  </si>
  <si>
    <t>3) นโยบายหรือกลยุทธ์ระบบลีน</t>
  </si>
  <si>
    <t xml:space="preserve">4) การประเมินความพึงพอใจของพนักงาน (employee satisfaction) </t>
  </si>
  <si>
    <t>5)  การสร้างความเข้าใจในการค้นหา และขจัดความสูญเสียทั่วทั้งองค์กร เช่น 8 Wastes</t>
  </si>
  <si>
    <t>25) การใช้ Kanban</t>
  </si>
  <si>
    <t>28) ประสิทธิภาพในกระบวนการผลิตสินค้าหลัก</t>
  </si>
  <si>
    <t>มาตรฐานในการทำงาน (Standard Work)</t>
  </si>
  <si>
    <t>การปรับปรุงอย่างต่อเนื่อง (Continuous Improvement)</t>
  </si>
  <si>
    <t>ความยืดหยุ่นของกระบวนการ (Operational Flexibility)</t>
  </si>
  <si>
    <t>การป้องกันความผิดพลาด (Mistake Proofing/Poka-Yoke)</t>
  </si>
  <si>
    <t>การบำรุงรักษาแบบครบวงจร (TPM, Total Productive Maintenance)</t>
  </si>
  <si>
    <t>การปรับแต่งที่รวดเร็ว (SMED/Quick Changeover)</t>
  </si>
  <si>
    <t>ระบบการดึงงาน (Pull System)</t>
  </si>
  <si>
    <t>บุคลากร/การบริหารหน้างาน</t>
  </si>
  <si>
    <t xml:space="preserve">● ไม่พบการกระจายนโยบาย
</t>
  </si>
  <si>
    <t>● นโยบายของผู้จัดการโรงงาน รับทราบโดยผู้จัดการแผนกทุกแผนก</t>
  </si>
  <si>
    <t>● พนักงานทุกคนเข้าใจบทบาทและสามารถอธิบายบทบาทของตัวเองได้ในการขานรับนโยบายของผู้จัดการโรงงาน
● พนักงานสามารถบอกความแตกต่างระหว่างสภาพปัจจุบันและสิ่งที่กำลังจะเกิดขึ้นได้</t>
  </si>
  <si>
    <t>● พนักงานหน้างานสามารถระบุจุดที่ต้องปรับปรุงเพื่อให้ได้ตามนโยบาย
● มีกิจกรรมที่เป็นรูปธรรมจับต้องได้</t>
  </si>
  <si>
    <t>● องค์กรไม่มีกลยุทธ์หรือนโยบายระบบลีน 
● ไม่มีบุคลากรที่รับผิดชอบระบบลีน</t>
  </si>
  <si>
    <t>● องค์กรมีกลยุทธ์หรือนโยบายระบบลีน
● ไม่มีบุคลากรที่รับผิดชอบระบบลีนโดยตรง</t>
  </si>
  <si>
    <t>● องค์กรมีกลยุทธ์หรือนโยบายระบบลีน
● มีบุคลากรที่รับผิดชอบระบบลีนโดยตรง</t>
  </si>
  <si>
    <t>● องค์กรมีกลยุทธ์หรือนโยบายระบบลีน
● มีบุคลากรที่รับผิดชอบระบบลีนโดยตรงและมีผู้รับผิดชอบในแต่ละแผนก</t>
  </si>
  <si>
    <t>● มีระดับ 4
● มีการกำหนดตัวชี้วัด
● มีการทบทวนนโยบายอย่างสม่ำเสมอ</t>
  </si>
  <si>
    <t>● ไม่มีการประเมินความพึงพอใจ</t>
  </si>
  <si>
    <t>● มีการประเมินความพึงพอใจได้คะแนน 75-84%</t>
  </si>
  <si>
    <t>● มีการประเมินความพึงพอใจได้คะแนน 85-95%</t>
  </si>
  <si>
    <t>● มีการประเมินความพึงพอใจคะแนนมากกว่า 95%</t>
  </si>
  <si>
    <t>● พนักงานหน้างานไม่รู้จักความสูญเปล่า</t>
  </si>
  <si>
    <t>● พนักงานหน้างานรู้จักความสูญเปล่าบางหัวข้อ</t>
  </si>
  <si>
    <t xml:space="preserve">● พนักงานหน้างานรู้จักความสูญเปล่าทุกหัวข้อ
</t>
  </si>
  <si>
    <t xml:space="preserve">● พนักงานหน้างานรู้จักความสูญเปล่าทุกหัวข้อ
● พนักงานหน้างานค้นหาความสูญเปล่าเป็น
</t>
  </si>
  <si>
    <t xml:space="preserve">● มีระดับ 4
● พนักงานหน้างานสามารถปรับปรุงแก้ไขได้ มีโครงการที่ทำเป็นรูปธรรม
</t>
  </si>
  <si>
    <t>● ทำระบบ 5 ส โดยการปัด กวาด เช็ด ถู</t>
  </si>
  <si>
    <t>● ทำระบบ 5 ส โดยทำเฉพาะ ส1 ,ส2 ,ส3
● เป็นรูปธรรมที่จับต้องได้</t>
  </si>
  <si>
    <t>● ทำระบบ 5 ส โดยทำเฉพาะ ส1 ,ส2 ,ส3 ,ส4
● เป็นรูปธรรมที่จับต้องได้</t>
  </si>
  <si>
    <t>● ทำระบบ 5 ส โดยทำเฉพาะ ส1 ,ส2 ,ส3 ,ส4 ,ส5
● เป็นรูปธรรมที่จับต้องได้
ทำทุกคน ทุกที่</t>
  </si>
  <si>
    <t xml:space="preserve">● ไม่มีบอร์ด Control </t>
  </si>
  <si>
    <t>● มีบอร์ด Control ที่สำนักงานแต่ไม่มีที่หน้างาน</t>
  </si>
  <si>
    <t>● มีบอร์ด Control ที่สำนักงาน
และมีที่หน้างาน</t>
  </si>
  <si>
    <t>● มีบอร์ด Control ที่สำนักงาน
และมีที่หน้างาน
● บอร์ด Control มีการบันทึก ข้อมูลเป็นปัจจุบัน</t>
  </si>
  <si>
    <t>● มีข้อ 4 
● และมีข้อมูลครบถ้วน เช่น นโยบายผู้บริหาร โครงสร้างแผนกกิจรรมแผนกที่ทำ KPI  Skills matrix  เป็นต้น</t>
  </si>
  <si>
    <t>● ไม่มีมาตรฐานการทำงาน</t>
  </si>
  <si>
    <t>● มีมาตรฐานการทำงานแต่ไม่ได้ทำเป็นเอกสาร</t>
  </si>
  <si>
    <t>● มีมาตรฐานการทำงานและทำเป็นเอกสาร</t>
  </si>
  <si>
    <t>● มีมาตรฐานการทำงานและทำเป็นเอกสารติดที่หน้างานให้พนักงานสามารถมองเห็น</t>
  </si>
  <si>
    <t>● มีข้อ 4
● และมีปรับปรุงเอกสารกับการทำงานให้เป็นปัจจุบัน
มีการอบรมมาตรฐานการทำงานอย่างสม่ำเสมอ</t>
  </si>
  <si>
    <t>● ไม่มีเวลามาตรฐานการทำงาน</t>
  </si>
  <si>
    <t>● มีเวลามาตรฐานการทำงาน แต่เป็นเวลาจากการประมาณการ</t>
  </si>
  <si>
    <t>● มีเวลามาตรฐานการทำงาน เป็นเวลามาตรฐานจากการจับเวลาการทำงานจริง</t>
  </si>
  <si>
    <t>● มีข้อ 3
● และมีความยืดหยุ่น สามารถปรับเปลี่ยนสายการผลิตได้ตาม TAKT TIME และผลลัพธ์อาจจะไม่ได้ตามกำหนด</t>
  </si>
  <si>
    <t>● มีข้อ 4
● และมีความยืดหยุ่น สามารถปรับเปลี่ยนสายการผลิตได้ตาม TAKT TIME ได้ผลลัพธ์ตามที่กำหนด</t>
  </si>
  <si>
    <t>● ไม่มีข้อเสนอแนะการทำงานของพนักงาน</t>
  </si>
  <si>
    <t>● มีข้อเสนอแนะการทำงานของพนักงานด้วยวาจา</t>
  </si>
  <si>
    <t>● มีข้อเสนอแนะการทำงานของพนักงานด้วยเอกสาร</t>
  </si>
  <si>
    <t>● มีข้อ 3 และมีการให้รางวัลกับผู้เสนอแนะ</t>
  </si>
  <si>
    <t>● มีข้อ 4 และมีการปรับปรุงแก้ไขตามข้อเสนอแนะ</t>
  </si>
  <si>
    <t>● ไม่มีการทำ Kaizen</t>
  </si>
  <si>
    <t>● มีการทำ Kaizen เฉพาะหัวหน้า</t>
  </si>
  <si>
    <t>● มีการทำ Kaizen ในระดับหัวหน้าและเจ้าหน้าที่</t>
  </si>
  <si>
    <t>● มีการทำ Kaizen ในระดับหัวหน้า,เจ้าหน้าที่,พนักงานระดับหน้างานทุกคน</t>
  </si>
  <si>
    <t xml:space="preserve">● มีระดับ 4
● มีการประกวดและมีรางวัล
</t>
  </si>
  <si>
    <t>● ไม่มีการทำ Value stream</t>
  </si>
  <si>
    <t>● มีการทำ Value stream บางกลุ่มผลิตภัณฑ์</t>
  </si>
  <si>
    <t>● มีข้อ 3 
● และมีการปรับปรุงอย่างต่อเนื่อง</t>
  </si>
  <si>
    <t>● มีข้อ 4  
● และมีติดไว้ที่บอร์ดหน้างาน</t>
  </si>
  <si>
    <t>● ปรับเปลี่ยนแผนได้ต้องแจ้งก่อน 7 วัน</t>
  </si>
  <si>
    <t>● ปรับเปลี่ยนแผนได้ต้องแจ้งก่อน 5 วัน</t>
  </si>
  <si>
    <t>● ปรับเปลี่ยนแผนได้ต้องแจ้งก่อน 3 วัน</t>
  </si>
  <si>
    <t>● ปรับเปลี่ยนแผนได้ภายใน 2 วัน</t>
  </si>
  <si>
    <t>● ปรับเปลี่ยนแผนได้ภายใน 1 วัน</t>
  </si>
  <si>
    <t>● วาง Lay Out ตามหน้าที่</t>
  </si>
  <si>
    <t>● วาง Lay Out ให้เป็น I  Line</t>
  </si>
  <si>
    <t xml:space="preserve">● วาง Lay Out ให้เป็น U  Lineโดย 1 คน ทำงาน 5  หน้าที่ขึ้นไป หรือ คุม 5 เครื่องขึ้นไป </t>
  </si>
  <si>
    <t>● 1 ไลน์ ผลิตได้ 1 Product</t>
  </si>
  <si>
    <t>● 1 ไลน์ ผลิตได้ 2-3 Product</t>
  </si>
  <si>
    <t>● 1 ไลน์ ผลิตได้ 4-5 Product</t>
  </si>
  <si>
    <t>● 1 ไลน์ ผลิตได้ 6-7 Product</t>
  </si>
  <si>
    <t>● 1 ไลน์ ผลิตได้มากกว่า 7 Product</t>
  </si>
  <si>
    <t>● ไม่ได้นำหลักการป้องกันความผิดพลาดมาใช้</t>
  </si>
  <si>
    <t>● มีการนำหลักการป้องกันความผิดพลาดมาใช้บางจุด</t>
  </si>
  <si>
    <t>● มีการนำหลักการป้องกันความผิดพลาดมาใช้ทุกพื้นที่</t>
  </si>
  <si>
    <t>● มีการนำหลักการป้องกันความผิดพลาดมาใช้ทุกพื้นที่
และมีการปรับปรุงเพิ่มขึ้นทุกปี</t>
  </si>
  <si>
    <t>● หัวหน้างานมีความรู้
● เจ้าหน้าที่ไม่มีความรู้
● พนักงานหน้างานไม่มีความรู้</t>
  </si>
  <si>
    <t>● หัวหน้างานมีความรู้
● เจ้าหน้าที่มีความรู้
● พนักงานหน้างานไม่มีความรู้</t>
  </si>
  <si>
    <t>● หัวหน้างานมีความรู้
● เจ้าหน้าที่มีความรู้
● พนักงานหน้างานมีความรู้</t>
  </si>
  <si>
    <t>● ไม่มีแผน</t>
  </si>
  <si>
    <t>● มีแผนบางเครื่องจักร
● แต่ไม่ได้ทำตามแผน</t>
  </si>
  <si>
    <t>● มีแผนบางเครื่องจักร
● ทำตามแผน</t>
  </si>
  <si>
    <t>● มีแผนทุกเครื่องจักร
● ไม่ทำตามแผน</t>
  </si>
  <si>
    <t>● มีแผนทุกเครื่องจักร
● ทำตามแผน
● % Break down ลดลง</t>
  </si>
  <si>
    <t>● ไม่มีความรู้ TPM</t>
  </si>
  <si>
    <t>● มีความรู้เฉพาะระดับหัวหน้าเท่านั้น
● ยังไม่ได้นำมาใช้งาน</t>
  </si>
  <si>
    <t>● มีความรู้ทุกระดับและนำมาใช้งานบางเสา</t>
  </si>
  <si>
    <t>● พนักงานทุกระดับไม่มีความรู้</t>
  </si>
  <si>
    <t>● มีระดับ 4 
● สามารถนำความรู้มาใช้ในการทำงานที่เป็นรูปธรรมได้</t>
  </si>
  <si>
    <t>● ไม่มีคู่มือขั้นตอนการปรับแต่ง</t>
  </si>
  <si>
    <t>● มีคู่มือขั้นตอนการปรับแต่งบางเครื่อง</t>
  </si>
  <si>
    <t>● มีคู่มือขั้นตอนการปรับแต่งทุกเครื่อง</t>
  </si>
  <si>
    <t>● มีข้อ 3
● และคู่มืออยู่หน้างานพนักงานหน้างานสามารถมองเห็นได้</t>
  </si>
  <si>
    <t>● ใช้เวลามากกว่า 121 นาที</t>
  </si>
  <si>
    <t>● ใช้เวลา 61-120  นาที</t>
  </si>
  <si>
    <t>● ใช้เวลา 21-60 นาที</t>
  </si>
  <si>
    <t>● ใช้เวลา 10-20 นาที</t>
  </si>
  <si>
    <t>● ใช้เวลาน้อยกว่า 10 นาที</t>
  </si>
  <si>
    <t>● ไม่มีการใช้ Kanban</t>
  </si>
  <si>
    <t>● มีข้อ 4
● และสามารถคำนวณ Stock dayได้น้อยกว่า 2 วัน</t>
  </si>
  <si>
    <t>● ในสายการผลิตไม่มีการกำหนดเป้าหมายจำนวนงานที่ผลิตได้ในแต่ละชั่วโมง เป้าหมายต่อกะ และที่ผลิตได้จริง</t>
  </si>
  <si>
    <t>● จากข้อ 1
มีการบันทึกในกระดาษ</t>
  </si>
  <si>
    <t>● จากข้อ 1
มีการบันทึกในกระดานหรือบอร์ด LED</t>
  </si>
  <si>
    <t>● จากข้อ 3 ผลิตได้จริงไม่ได้ตามเป้าหมาย</t>
  </si>
  <si>
    <t>● จากข้อ 3 ผลิตได้จริงได้ตามเป้าหมายและมีการปรับปรุงอย่างต่อเนื่อง</t>
  </si>
  <si>
    <t>● ประสิทธิภาพกระบวนการผลิตได้น้อยกว่า 50%</t>
  </si>
  <si>
    <t>● ประสิทธิภาพกระบวนการผลิตได้ 50 - 70%</t>
  </si>
  <si>
    <t>● ประสิทธิภาพกระบวนการผลิตได้ 71 - 90%</t>
  </si>
  <si>
    <t>● ประสิทธิภาพกระบวนการผลิตได้ 91 - 95%</t>
  </si>
  <si>
    <t>● ประสิทธิภาพกระบวนการผลิตได้ 95%</t>
  </si>
  <si>
    <t xml:space="preserve">● ไมมีโครงสร้างตำแหน่งหน้าที่
</t>
  </si>
  <si>
    <t xml:space="preserve">● มีโครงสร้างการพัฒนาสำหรับผู้จัดการ
</t>
  </si>
  <si>
    <t xml:space="preserve">● ระบบการพัฒนาความก้าวหน้าในอาชีพมีพื้นฐานจากแผนความสามารถเชิงสมรรถนะและบทบาทหน้าที่ของพนักงาน
● แผน 3 ปีในการพัฒนาความก้าวหน้าในอาชีพ
 </t>
  </si>
  <si>
    <t xml:space="preserve">● พนักงานแต่ละคนในแต่ละปีมีการพัฒนาความสามารถเชิงสมรรถนะ โอกาสในการพัฒนา และสิ่งที่พนักงานคาดหวัง
</t>
  </si>
  <si>
    <t>● มีการประเมินความพึงพอใจได้คะแนนไม่เกิน 74%</t>
  </si>
  <si>
    <t>● มีข้อ 4
● และมีการปรับปรุงเวลามาตรฐาน อย่างน้อยปีละ 1 ครั้ง</t>
  </si>
  <si>
    <t>● มีข้อ 4 
● คู่มือมีการปรับปรุงอย่างน้อยปีละ 1 ครั้ง</t>
  </si>
  <si>
    <t>26) เป้าหมายการทำงาน</t>
  </si>
  <si>
    <t>1. นโยบายและการสื่อสารนโยบาย (Communication and Cultural Awareness)</t>
  </si>
  <si>
    <t xml:space="preserve">       แบบประเมินองค์กรสำหรับการผลิตแบบลีน</t>
  </si>
  <si>
    <t xml:space="preserve">● ไม่มีเป้าหมายระยะยาว 3-5 ปีสำหรับบริษัท
</t>
  </si>
  <si>
    <t xml:space="preserve">● มีเป้าหมายระยะสั้น ไม่มีเป้าหมายระยะกลางและไม่มีเป้าหมายระยะยาว
</t>
  </si>
  <si>
    <t xml:space="preserve">● มีเป้าหมายระยะสั้น มีเป้าหมายระยะกลางและไม่มีเป้าหมายระยะยาว
</t>
  </si>
  <si>
    <t xml:space="preserve">● มีเป้าหมายระยะสั้น มีเป้าหมายระยะกลางและมีเป้าหมายระยะยาว
</t>
  </si>
  <si>
    <t xml:space="preserve">● มีเป้าหมายระยะสั้น กลาง ยาวและแผนงานระยะยาวแสดงถึงความท้าทายในการยกระดับสู่ระดับโลก 
</t>
  </si>
  <si>
    <t>● นโยบายและวัตถุประสงค์ได้รับรู้และได้รับการสนับสนุนจากผู้จัดการและหัวหน้าทุกคน</t>
  </si>
  <si>
    <t xml:space="preserve">● ทำระบบ 5 ส โดยทำเฉพาะ  ส1 ,ส2 ,ส3
● ไม่เป็นรูปธรรมที่จับต้องได้
</t>
  </si>
  <si>
    <t>● มีข้อ 3
● และนำมาใช้ในการวางแผนการทำงาน</t>
  </si>
  <si>
    <t>● ไม่เข้าใจคำว่า TAKT time</t>
  </si>
  <si>
    <t>● เข้าใจคำว่า TAKT time แต่ไม่ได้นำมาใช้</t>
  </si>
  <si>
    <t>● มีการคำนวณ (TAKT time) และนำมาใช้ในกระบวนการ ไม่สามารถปรับกระบวนการตาม TAKT time ได้</t>
  </si>
  <si>
    <t>● มีการทำ Value stream ทุกกลุ่มผลิตภัณฑ์หลัก</t>
  </si>
  <si>
    <t>● มีการนำหลักการป้องกันความผิดพลาดมาใช้ทุกพื้นที่
และมีการปรับปรุงเพิ่มขึ้นทุก 6 เดือน</t>
  </si>
  <si>
    <t>● มีความรู้ทุกระดับแต่ไม่ได้นำมาใช้</t>
  </si>
  <si>
    <t xml:space="preserve">● มีความรู้ทุกระดับและนำมาใช้งานทุกเสา
</t>
  </si>
  <si>
    <t>● มีการใช้ระบบ Kanban บางผลิตภัณฑ์หลัก</t>
  </si>
  <si>
    <t>● มีการใช้ระบบ Kanban ทุกผลิตภัณฑ์หลัก</t>
  </si>
  <si>
    <t>● มีการใช้ระบบ Kanban ทุกผลิตภัณฑ์หลัก สามารถลด Kanban ลงได้</t>
  </si>
  <si>
    <t>● ไม่มีการทำ Skill Matrix</t>
  </si>
  <si>
    <t>● จัดทำ Skills Matrix ครบทุกคน 100%.
● มีการประเมินทักษะครบ 100% ทุกตำแหน่ง
● มีการพัฒนาส่งเสริมการพัฒนาทักษะอย่างต่อเนื่อง
● ผลตอบแทนมีความสัมพันธ์กับทักษะที่เพิ่มขึ้น</t>
  </si>
  <si>
    <t xml:space="preserve">● มีการจัดทำ Skills Matrix สำหรับพนักงานหน้างาน บางตำแหน่ง
</t>
  </si>
  <si>
    <t xml:space="preserve">● มีการจัดทำ Skills Matrix สำหรับพนักงานหน้างาน บางตำแหน่ง
'● และมีแผนการพัฒนาพนักงานแต่ละคน บางตำแหน่ง
</t>
  </si>
  <si>
    <t xml:space="preserve">● มีการจัดทำ Skills Matrix สำหรับพนักงานหน้างาน ทุกตำแหน่ง
'● และมีแผนการพัฒนาพนักงานแต่ละคน บางตำแหน่ง
</t>
  </si>
  <si>
    <t>● ทุกปีมีการวิเคราะห์การพัฒนาความก้าวหน้าในอาชีพของแต่ละคน
● พนักงานทุกคนมีโอกาสที่จะเปลี่ยนตำแหน่งหน้าที่ทุกๆ 5 ปี</t>
  </si>
  <si>
    <t>คุณค่า VALUE</t>
  </si>
  <si>
    <t>● มีผลิตภัณฑ์หรือบริการใหม่เฉลี่ย ปีละ 1 ผลิตภัณฑ์</t>
  </si>
  <si>
    <t>● มีผลิตภัณฑ์หรือบริการใหม่เฉลี่ย 6 เดือนต่อ 1 ผลิตภัณฑ์</t>
  </si>
  <si>
    <t>● มีผลิตภัณฑ์หรือบริการใหม่เฉลี่ย 3 เดือนต่อ 1 ผลิตภัณฑ์</t>
  </si>
  <si>
    <t>● มีผลิตภัณฑ์หรือบริการใหม่เฉลี่ย 2 ปี ต่อ 1 ผลิตภัณฑ์</t>
  </si>
  <si>
    <t>● มีผลิตภัณฑ์หรือบริการใหม่เฉลี่ยมากกว่า 3 ปี ต่อ 1 ผลิตภัณฑ์</t>
  </si>
  <si>
    <t>● ไม่เติบโต</t>
  </si>
  <si>
    <t>● โตขึ้นปีละ 0.1-10 %</t>
  </si>
  <si>
    <t>● โตขึ้นมากกว่า 30%</t>
  </si>
  <si>
    <t>7. มีผลิตภัณฑ์หรือบริการใหม่</t>
  </si>
  <si>
    <t>8) ระบบ 5ส</t>
  </si>
  <si>
    <t>9) Visual Control ,Visual Management</t>
  </si>
  <si>
    <t xml:space="preserve">10) มาตรฐานการทำงาน SOP </t>
  </si>
  <si>
    <t>11) เวลามาตรฐาน(Stand dard time)</t>
  </si>
  <si>
    <t>12) TAKT time</t>
  </si>
  <si>
    <t>13) ข้อเสนอแนะ (Kaizen Suggestion)</t>
  </si>
  <si>
    <t>14) การปรับปรุงอย่างต่อเนื่อง Kaizen</t>
  </si>
  <si>
    <t>15) การประเมิน Value stream ของกระบวนการ</t>
  </si>
  <si>
    <t>16)การปรับเปลี่ยนแผนการผลิต</t>
  </si>
  <si>
    <t>17) Lay Out การผลิต</t>
  </si>
  <si>
    <t>18) ไลน์การผลิต</t>
  </si>
  <si>
    <t>19)การนำระบบป้องกันความผิดพลาดมาใช้งาน</t>
  </si>
  <si>
    <t>20)แผนการทำ PM,AM</t>
  </si>
  <si>
    <t>21) TPM, Total Productive Maintenance</t>
  </si>
  <si>
    <t>22) ความรู้ด้านการปรับแต่งที่รวดเร็ว</t>
  </si>
  <si>
    <t>23) คู่มือขั้นตอนการปรับแต่ง</t>
  </si>
  <si>
    <t>24) Set Up เครื่องจักร</t>
  </si>
  <si>
    <t>29) ทักษะการทำงาน SKILL Matrix</t>
  </si>
  <si>
    <t>30) โครงสร้างตำแหน่ง</t>
  </si>
  <si>
    <t>2. คุณค่า Value</t>
  </si>
  <si>
    <t>3.การควบคุมด้วยการมอง(5S,VC)และการจัดการสถานที่ทำงาน</t>
  </si>
  <si>
    <t>4.มาตรฐานในการทำงาน (Standard Work)</t>
  </si>
  <si>
    <t>5.การปรับปรุงอย่างต่อเนื่อง (Continuous Improvement)</t>
  </si>
  <si>
    <t>6.ความยืดหยุ่นของกระบวนการ (Operational Flexibility)</t>
  </si>
  <si>
    <t>7.การป้องกันความผิดพลาด (Mistake Proofing/Poka-Yoke)</t>
  </si>
  <si>
    <t>8.การบำรุงรักษาแบบครบวงจร (TPM, Total Productive Maintenance)</t>
  </si>
  <si>
    <t>9.การปรับแต่งที่รวดเร็ว (SMED/Quick Changeover)</t>
  </si>
  <si>
    <t>10.ระบบการดึงงาน (Pull System)</t>
  </si>
  <si>
    <t>11.การผลิตที่สมดุล Balanced Production</t>
  </si>
  <si>
    <t>12.บุคลากร/การบริหารหน้างาน</t>
  </si>
  <si>
    <t>6. รายได้</t>
  </si>
  <si>
    <t>แบบประเมินธุรกิจแบบ LEAN</t>
  </si>
  <si>
    <t>● โตขึ้นปีละ 20.01-30 %</t>
  </si>
  <si>
    <t>● โตขึ้นปีละ 10.01-20 %</t>
  </si>
  <si>
    <t xml:space="preserve">● วาง Lay Out ให้เป็น U  Lineโดย 1 คน ทำงานมากกว่า 3-4  หน้าที่ หรือ คุมมากกว่า 3-4 เครื่อง </t>
  </si>
  <si>
    <t>● วาง Lay Out ให้เป็น I  Line หนึ่งคนทำงาน 2 หน้าที่ หรือคุมเครื่อง 2 เครื่อง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</si>
</sst>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18"/>
      <color theme="1"/>
      <name val="Browallia Ne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FF0000"/>
      <name val="Browallia New"/>
      <family val="2"/>
    </font>
    <font>
      <b/>
      <sz val="20"/>
      <color theme="1"/>
      <name val="TH SarabunPSK"/>
      <family val="2"/>
    </font>
    <font>
      <b/>
      <u/>
      <sz val="20"/>
      <color theme="1"/>
      <name val="TH SarabunPSK"/>
      <family val="2"/>
    </font>
    <font>
      <sz val="20"/>
      <color theme="1"/>
      <name val="TH SarabunPSK"/>
      <family val="2"/>
    </font>
    <font>
      <b/>
      <sz val="20"/>
      <name val="TH SarabunPSK"/>
      <family val="2"/>
    </font>
    <font>
      <b/>
      <sz val="24"/>
      <name val="TH SarabunPSK"/>
      <family val="2"/>
    </font>
    <font>
      <sz val="24"/>
      <name val="TH SarabunPSK"/>
      <family val="2"/>
    </font>
    <font>
      <b/>
      <sz val="24"/>
      <color indexed="8"/>
      <name val="TH SarabunPSK"/>
      <family val="2"/>
    </font>
    <font>
      <sz val="24"/>
      <color indexed="8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43" fontId="7" fillId="0" borderId="1" xfId="0" applyNumberFormat="1" applyFont="1" applyBorder="1"/>
    <xf numFmtId="0" fontId="9" fillId="0" borderId="0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Fill="1"/>
    <xf numFmtId="43" fontId="10" fillId="0" borderId="0" xfId="1" applyFont="1" applyAlignment="1"/>
    <xf numFmtId="0" fontId="8" fillId="0" borderId="0" xfId="0" applyFont="1"/>
    <xf numFmtId="43" fontId="8" fillId="2" borderId="3" xfId="1" applyFont="1" applyFill="1" applyBorder="1" applyAlignment="1">
      <alignment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43" fontId="8" fillId="2" borderId="12" xfId="1" applyFont="1" applyFill="1" applyBorder="1" applyAlignment="1">
      <alignment vertical="center"/>
    </xf>
    <xf numFmtId="0" fontId="10" fillId="0" borderId="6" xfId="0" applyFont="1" applyBorder="1"/>
    <xf numFmtId="0" fontId="10" fillId="0" borderId="6" xfId="0" applyFont="1" applyFill="1" applyBorder="1"/>
    <xf numFmtId="43" fontId="10" fillId="0" borderId="22" xfId="1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Fill="1" applyBorder="1"/>
    <xf numFmtId="43" fontId="10" fillId="0" borderId="21" xfId="1" applyFont="1" applyBorder="1" applyAlignment="1">
      <alignment vertical="center"/>
    </xf>
    <xf numFmtId="43" fontId="10" fillId="0" borderId="22" xfId="1" applyFont="1" applyFill="1" applyBorder="1" applyAlignment="1">
      <alignment vertical="center"/>
    </xf>
    <xf numFmtId="0" fontId="10" fillId="0" borderId="10" xfId="0" applyFont="1" applyBorder="1"/>
    <xf numFmtId="0" fontId="10" fillId="0" borderId="10" xfId="0" applyFont="1" applyFill="1" applyBorder="1"/>
    <xf numFmtId="0" fontId="10" fillId="0" borderId="7" xfId="0" applyFont="1" applyBorder="1"/>
    <xf numFmtId="0" fontId="10" fillId="0" borderId="7" xfId="0" applyFont="1" applyFill="1" applyBorder="1"/>
    <xf numFmtId="43" fontId="10" fillId="2" borderId="24" xfId="1" applyFont="1" applyFill="1" applyBorder="1" applyAlignment="1">
      <alignment vertical="center"/>
    </xf>
    <xf numFmtId="43" fontId="10" fillId="0" borderId="25" xfId="1" applyFont="1" applyBorder="1" applyAlignment="1">
      <alignment vertical="center"/>
    </xf>
    <xf numFmtId="43" fontId="10" fillId="0" borderId="25" xfId="1" applyFont="1" applyFill="1" applyBorder="1" applyAlignment="1">
      <alignment vertical="center"/>
    </xf>
    <xf numFmtId="43" fontId="10" fillId="0" borderId="26" xfId="1" applyFont="1" applyFill="1" applyBorder="1" applyAlignment="1">
      <alignment vertical="center"/>
    </xf>
    <xf numFmtId="43" fontId="10" fillId="0" borderId="27" xfId="1" applyFont="1" applyFill="1" applyBorder="1" applyAlignment="1">
      <alignment vertical="center"/>
    </xf>
    <xf numFmtId="43" fontId="10" fillId="0" borderId="26" xfId="1" applyFont="1" applyFill="1" applyBorder="1" applyAlignment="1"/>
    <xf numFmtId="43" fontId="10" fillId="2" borderId="24" xfId="1" applyFont="1" applyFill="1" applyBorder="1" applyAlignment="1"/>
    <xf numFmtId="0" fontId="12" fillId="5" borderId="6" xfId="0" applyFont="1" applyFill="1" applyBorder="1" applyAlignment="1" applyProtection="1">
      <alignment horizontal="left" vertical="top" wrapText="1"/>
      <protection locked="0"/>
    </xf>
    <xf numFmtId="0" fontId="13" fillId="0" borderId="6" xfId="0" quotePrefix="1" applyFont="1" applyFill="1" applyBorder="1" applyAlignment="1" applyProtection="1">
      <alignment horizontal="left" vertical="top" wrapText="1"/>
    </xf>
    <xf numFmtId="0" fontId="13" fillId="4" borderId="6" xfId="0" quotePrefix="1" applyFont="1" applyFill="1" applyBorder="1" applyAlignment="1" applyProtection="1">
      <alignment horizontal="left" vertical="top" wrapText="1"/>
    </xf>
    <xf numFmtId="0" fontId="12" fillId="5" borderId="1" xfId="0" applyFont="1" applyFill="1" applyBorder="1" applyAlignment="1" applyProtection="1">
      <alignment horizontal="left" vertical="top" wrapText="1"/>
      <protection locked="0"/>
    </xf>
    <xf numFmtId="0" fontId="13" fillId="0" borderId="1" xfId="0" quotePrefix="1" applyFont="1" applyFill="1" applyBorder="1" applyAlignment="1" applyProtection="1">
      <alignment horizontal="left" vertical="top" wrapText="1"/>
    </xf>
    <xf numFmtId="0" fontId="13" fillId="4" borderId="1" xfId="0" quotePrefix="1" applyFont="1" applyFill="1" applyBorder="1" applyAlignment="1" applyProtection="1">
      <alignment horizontal="left" vertical="top" wrapText="1"/>
    </xf>
    <xf numFmtId="0" fontId="14" fillId="5" borderId="1" xfId="0" applyFont="1" applyFill="1" applyBorder="1" applyAlignment="1">
      <alignment vertical="top" wrapText="1" readingOrder="1"/>
    </xf>
    <xf numFmtId="0" fontId="15" fillId="0" borderId="1" xfId="0" applyFont="1" applyBorder="1" applyAlignment="1">
      <alignment vertical="top" wrapText="1" readingOrder="1"/>
    </xf>
    <xf numFmtId="0" fontId="12" fillId="5" borderId="1" xfId="0" applyFont="1" applyFill="1" applyBorder="1" applyAlignment="1">
      <alignment vertical="top" wrapText="1" readingOrder="1"/>
    </xf>
    <xf numFmtId="0" fontId="12" fillId="5" borderId="7" xfId="0" applyFont="1" applyFill="1" applyBorder="1" applyAlignment="1">
      <alignment vertical="top" wrapText="1" readingOrder="1"/>
    </xf>
    <xf numFmtId="0" fontId="13" fillId="0" borderId="7" xfId="0" applyFont="1" applyBorder="1" applyAlignment="1">
      <alignment vertical="top" wrapText="1" readingOrder="1"/>
    </xf>
    <xf numFmtId="0" fontId="14" fillId="5" borderId="6" xfId="0" applyFont="1" applyFill="1" applyBorder="1" applyAlignment="1">
      <alignment vertical="top" wrapText="1" readingOrder="1"/>
    </xf>
    <xf numFmtId="0" fontId="14" fillId="5" borderId="7" xfId="0" applyFont="1" applyFill="1" applyBorder="1" applyAlignment="1">
      <alignment horizontal="left" vertical="top" wrapText="1" readingOrder="1"/>
    </xf>
    <xf numFmtId="0" fontId="15" fillId="0" borderId="7" xfId="0" applyFont="1" applyBorder="1" applyAlignment="1">
      <alignment horizontal="left" vertical="center" wrapText="1" readingOrder="1"/>
    </xf>
    <xf numFmtId="0" fontId="14" fillId="5" borderId="6" xfId="0" applyFont="1" applyFill="1" applyBorder="1" applyAlignment="1">
      <alignment horizontal="left" vertical="top" wrapText="1" readingOrder="1"/>
    </xf>
    <xf numFmtId="0" fontId="14" fillId="5" borderId="1" xfId="0" applyFont="1" applyFill="1" applyBorder="1" applyAlignment="1">
      <alignment horizontal="left" vertical="top" wrapText="1" readingOrder="1"/>
    </xf>
    <xf numFmtId="0" fontId="12" fillId="5" borderId="6" xfId="0" applyFont="1" applyFill="1" applyBorder="1" applyAlignment="1">
      <alignment vertical="top" wrapText="1" readingOrder="1"/>
    </xf>
    <xf numFmtId="0" fontId="14" fillId="5" borderId="7" xfId="0" applyFont="1" applyFill="1" applyBorder="1" applyAlignment="1">
      <alignment vertical="top" wrapText="1" readingOrder="1"/>
    </xf>
    <xf numFmtId="0" fontId="15" fillId="0" borderId="1" xfId="0" applyFont="1" applyBorder="1" applyAlignment="1">
      <alignment horizontal="left" vertical="top" wrapText="1" readingOrder="1"/>
    </xf>
    <xf numFmtId="0" fontId="15" fillId="0" borderId="7" xfId="0" applyFont="1" applyBorder="1" applyAlignment="1">
      <alignment vertical="top" wrapText="1" readingOrder="1"/>
    </xf>
    <xf numFmtId="0" fontId="14" fillId="5" borderId="6" xfId="0" applyFont="1" applyFill="1" applyBorder="1" applyAlignment="1">
      <alignment vertical="top" wrapText="1"/>
    </xf>
    <xf numFmtId="0" fontId="14" fillId="5" borderId="7" xfId="0" applyFont="1" applyFill="1" applyBorder="1" applyAlignment="1">
      <alignment vertical="top" wrapText="1"/>
    </xf>
    <xf numFmtId="0" fontId="14" fillId="5" borderId="6" xfId="0" applyFont="1" applyFill="1" applyBorder="1" applyAlignment="1">
      <alignment horizontal="left" vertical="top" wrapText="1"/>
    </xf>
    <xf numFmtId="0" fontId="15" fillId="0" borderId="6" xfId="0" applyFont="1" applyBorder="1" applyAlignment="1">
      <alignment vertical="top" wrapText="1" readingOrder="1"/>
    </xf>
    <xf numFmtId="0" fontId="14" fillId="5" borderId="10" xfId="0" applyFont="1" applyFill="1" applyBorder="1" applyAlignment="1">
      <alignment vertical="top" wrapText="1"/>
    </xf>
    <xf numFmtId="0" fontId="14" fillId="5" borderId="1" xfId="0" applyFont="1" applyFill="1" applyBorder="1" applyAlignment="1">
      <alignment horizontal="left" vertical="top" wrapText="1"/>
    </xf>
    <xf numFmtId="0" fontId="14" fillId="5" borderId="7" xfId="0" applyFont="1" applyFill="1" applyBorder="1" applyAlignment="1">
      <alignment horizontal="left" vertical="top" wrapText="1"/>
    </xf>
    <xf numFmtId="0" fontId="15" fillId="0" borderId="1" xfId="0" quotePrefix="1" applyFont="1" applyFill="1" applyBorder="1" applyAlignment="1" applyProtection="1">
      <alignment horizontal="left" vertical="top" wrapText="1"/>
    </xf>
    <xf numFmtId="0" fontId="13" fillId="0" borderId="7" xfId="0" quotePrefix="1" applyNumberFormat="1" applyFont="1" applyFill="1" applyBorder="1" applyAlignment="1" applyProtection="1">
      <alignment vertical="top" wrapText="1"/>
    </xf>
    <xf numFmtId="0" fontId="13" fillId="4" borderId="7" xfId="0" quotePrefix="1" applyNumberFormat="1" applyFont="1" applyFill="1" applyBorder="1" applyAlignment="1" applyProtection="1">
      <alignment vertical="top" wrapText="1"/>
    </xf>
    <xf numFmtId="0" fontId="13" fillId="0" borderId="10" xfId="0" applyFont="1" applyBorder="1" applyAlignment="1">
      <alignment vertical="top" wrapText="1" readingOrder="1"/>
    </xf>
    <xf numFmtId="0" fontId="15" fillId="0" borderId="7" xfId="0" applyFont="1" applyBorder="1" applyAlignment="1">
      <alignment horizontal="left" vertical="top" wrapText="1" readingOrder="1"/>
    </xf>
    <xf numFmtId="0" fontId="15" fillId="0" borderId="6" xfId="0" applyFont="1" applyBorder="1" applyAlignment="1">
      <alignment horizontal="left" vertical="top" wrapText="1" readingOrder="1"/>
    </xf>
    <xf numFmtId="0" fontId="13" fillId="0" borderId="6" xfId="0" applyFont="1" applyBorder="1" applyAlignment="1">
      <alignment vertical="top" wrapText="1" readingOrder="1"/>
    </xf>
    <xf numFmtId="0" fontId="13" fillId="0" borderId="1" xfId="0" applyFont="1" applyBorder="1" applyAlignment="1">
      <alignment vertical="top" wrapText="1" readingOrder="1"/>
    </xf>
    <xf numFmtId="0" fontId="15" fillId="0" borderId="6" xfId="0" applyFont="1" applyBorder="1" applyAlignment="1">
      <alignment vertical="top" wrapText="1"/>
    </xf>
    <xf numFmtId="0" fontId="15" fillId="0" borderId="7" xfId="0" applyFont="1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11" fillId="3" borderId="17" xfId="0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vertical="top" wrapText="1" readingOrder="1"/>
    </xf>
    <xf numFmtId="0" fontId="10" fillId="0" borderId="29" xfId="0" applyFont="1" applyBorder="1"/>
    <xf numFmtId="0" fontId="10" fillId="0" borderId="29" xfId="0" applyFont="1" applyFill="1" applyBorder="1"/>
    <xf numFmtId="43" fontId="10" fillId="2" borderId="30" xfId="1" applyFont="1" applyFill="1" applyBorder="1" applyAlignment="1">
      <alignment vertical="center"/>
    </xf>
    <xf numFmtId="0" fontId="15" fillId="0" borderId="31" xfId="0" applyFont="1" applyBorder="1" applyAlignment="1">
      <alignment vertical="top" wrapText="1" readingOrder="1"/>
    </xf>
    <xf numFmtId="43" fontId="10" fillId="2" borderId="25" xfId="1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2" borderId="3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FF00"/>
      <color rgb="FF66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h-TH">
                <a:latin typeface="TH SarabunPSK" pitchFamily="34" charset="-34"/>
                <a:cs typeface="TH SarabunPSK" pitchFamily="34" charset="-34"/>
              </a:rPr>
              <a:t>แบบประเมินองค์กรสำหรับการผลิตแบบลีน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สรุป!$B$3:$B$14</c:f>
              <c:strCache>
                <c:ptCount val="12"/>
                <c:pt idx="0">
                  <c:v>1. นโยบายและการสื่อสารนโยบาย (Communication and Cultural Awareness)</c:v>
                </c:pt>
                <c:pt idx="1">
                  <c:v>2. คุณค่า Value</c:v>
                </c:pt>
                <c:pt idx="2">
                  <c:v>3.การควบคุมด้วยการมอง(5S,VC)และการจัดการสถานที่ทำงาน</c:v>
                </c:pt>
                <c:pt idx="3">
                  <c:v>4.มาตรฐานในการทำงาน (Standard Work)</c:v>
                </c:pt>
                <c:pt idx="4">
                  <c:v>5.การปรับปรุงอย่างต่อเนื่อง (Continuous Improvement)</c:v>
                </c:pt>
                <c:pt idx="5">
                  <c:v>6.ความยืดหยุ่นของกระบวนการ (Operational Flexibility)</c:v>
                </c:pt>
                <c:pt idx="6">
                  <c:v>7.การป้องกันความผิดพลาด (Mistake Proofing/Poka-Yoke)</c:v>
                </c:pt>
                <c:pt idx="7">
                  <c:v>8.การบำรุงรักษาแบบครบวงจร (TPM, Total Productive Maintenance)</c:v>
                </c:pt>
                <c:pt idx="8">
                  <c:v>9.การปรับแต่งที่รวดเร็ว (SMED/Quick Changeover)</c:v>
                </c:pt>
                <c:pt idx="9">
                  <c:v>10.ระบบการดึงงาน (Pull System)</c:v>
                </c:pt>
                <c:pt idx="10">
                  <c:v>11.การผลิตที่สมดุล Balanced Production</c:v>
                </c:pt>
                <c:pt idx="11">
                  <c:v>12.บุคลากร/การบริหารหน้างาน</c:v>
                </c:pt>
              </c:strCache>
            </c:strRef>
          </c:cat>
          <c:val>
            <c:numRef>
              <c:f>สรุป!$C$3:$C$14</c:f>
              <c:numCache>
                <c:formatCode>_(* #,##0.00_);_(* \(#,##0.00\);_(* "-"??_);_(@_)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2.5</c:v>
                </c:pt>
                <c:pt idx="3">
                  <c:v>1.3333333333333333</c:v>
                </c:pt>
                <c:pt idx="4">
                  <c:v>1.3333333333333333</c:v>
                </c:pt>
                <c:pt idx="5">
                  <c:v>2.6666666666666665</c:v>
                </c:pt>
                <c:pt idx="6">
                  <c:v>4</c:v>
                </c:pt>
                <c:pt idx="7">
                  <c:v>2.5</c:v>
                </c:pt>
                <c:pt idx="8">
                  <c:v>2</c:v>
                </c:pt>
                <c:pt idx="9">
                  <c:v>1.5</c:v>
                </c:pt>
                <c:pt idx="10">
                  <c:v>2</c:v>
                </c:pt>
                <c:pt idx="11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6-4659-B3DF-AB44277782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1669504"/>
        <c:axId val="141671040"/>
      </c:radarChart>
      <c:catAx>
        <c:axId val="141669504"/>
        <c:scaling>
          <c:orientation val="minMax"/>
        </c:scaling>
        <c:delete val="0"/>
        <c:axPos val="b"/>
        <c:majorGridlines/>
        <c:numFmt formatCode="General" sourceLinked="0"/>
        <c:majorTickMark val="none"/>
        <c:minorTickMark val="none"/>
        <c:tickLblPos val="nextTo"/>
        <c:spPr>
          <a:ln w="9525">
            <a:noFill/>
          </a:ln>
        </c:spPr>
        <c:crossAx val="141671040"/>
        <c:crosses val="autoZero"/>
        <c:auto val="1"/>
        <c:lblAlgn val="ctr"/>
        <c:lblOffset val="100"/>
        <c:noMultiLvlLbl val="0"/>
      </c:catAx>
      <c:valAx>
        <c:axId val="141671040"/>
        <c:scaling>
          <c:orientation val="minMax"/>
          <c:max val="5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166950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804332</xdr:colOff>
      <xdr:row>0</xdr:row>
      <xdr:rowOff>178857</xdr:rowOff>
    </xdr:from>
    <xdr:to>
      <xdr:col>10</xdr:col>
      <xdr:colOff>245533</xdr:colOff>
      <xdr:row>18</xdr:row>
      <xdr:rowOff>67734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33"/>
  <sheetViews>
    <sheetView showGridLines="0" tabSelected="1" zoomScale="90" zoomScaleNormal="90" workbookViewId="0">
      <pane xSplit="2" ySplit="4" topLeftCell="C14" activePane="bottomRight" state="frozen"/>
      <selection pane="topRight" activeCell="C1" sqref="C1"/>
      <selection pane="bottomLeft" activeCell="A7" sqref="A7"/>
      <selection pane="bottomRight" activeCell="F29" sqref="F29"/>
    </sheetView>
  </sheetViews>
  <sheetFormatPr defaultColWidth="9" defaultRowHeight="30" x14ac:dyDescent="0.65"/>
  <cols>
    <col min="1" max="1" width="1.375" style="9" customWidth="1"/>
    <col min="2" max="2" width="23.125" style="9" bestFit="1" customWidth="1"/>
    <col min="3" max="3" width="24.875" style="9" customWidth="1"/>
    <col min="4" max="4" width="22.875" style="9" customWidth="1"/>
    <col min="5" max="5" width="29.125" style="9" customWidth="1"/>
    <col min="6" max="6" width="35.375" style="9" customWidth="1"/>
    <col min="7" max="7" width="34.875" style="9" customWidth="1"/>
    <col min="8" max="8" width="34.375" style="9" customWidth="1"/>
    <col min="9" max="10" width="5.625" style="9" customWidth="1"/>
    <col min="11" max="11" width="5.625" style="10" customWidth="1"/>
    <col min="12" max="13" width="5.625" style="9" customWidth="1"/>
    <col min="14" max="14" width="15.125" style="11" bestFit="1" customWidth="1"/>
    <col min="15" max="16384" width="9" style="9"/>
  </cols>
  <sheetData>
    <row r="1" spans="2:14" s="12" customFormat="1" ht="30.75" customHeight="1" thickBot="1" x14ac:dyDescent="0.7">
      <c r="B1" s="92" t="s">
        <v>200</v>
      </c>
      <c r="C1" s="93"/>
      <c r="D1" s="8"/>
      <c r="E1" s="8"/>
      <c r="F1" s="8"/>
      <c r="G1" s="8"/>
      <c r="H1" s="8"/>
      <c r="I1" s="94"/>
      <c r="J1" s="95"/>
      <c r="K1" s="95"/>
      <c r="L1" s="95"/>
      <c r="M1" s="95"/>
      <c r="N1" s="96"/>
    </row>
    <row r="2" spans="2:14" ht="6" customHeight="1" thickBot="1" x14ac:dyDescent="0.7"/>
    <row r="3" spans="2:14" ht="17.25" customHeight="1" x14ac:dyDescent="0.65">
      <c r="B3" s="97" t="s">
        <v>2</v>
      </c>
      <c r="C3" s="97" t="s">
        <v>3</v>
      </c>
      <c r="D3" s="103">
        <v>1</v>
      </c>
      <c r="E3" s="105">
        <v>2</v>
      </c>
      <c r="F3" s="105">
        <v>3</v>
      </c>
      <c r="G3" s="105">
        <v>4</v>
      </c>
      <c r="H3" s="105">
        <v>5</v>
      </c>
      <c r="I3" s="100" t="s">
        <v>0</v>
      </c>
      <c r="J3" s="101"/>
      <c r="K3" s="101"/>
      <c r="L3" s="101"/>
      <c r="M3" s="102"/>
      <c r="N3" s="13" t="s">
        <v>1</v>
      </c>
    </row>
    <row r="4" spans="2:14" ht="20.25" customHeight="1" thickBot="1" x14ac:dyDescent="0.7">
      <c r="B4" s="98"/>
      <c r="C4" s="99"/>
      <c r="D4" s="104"/>
      <c r="E4" s="106"/>
      <c r="F4" s="106"/>
      <c r="G4" s="106"/>
      <c r="H4" s="106"/>
      <c r="I4" s="14">
        <v>1</v>
      </c>
      <c r="J4" s="15">
        <v>2</v>
      </c>
      <c r="K4" s="15">
        <v>3</v>
      </c>
      <c r="L4" s="15">
        <v>4</v>
      </c>
      <c r="M4" s="16">
        <v>5</v>
      </c>
      <c r="N4" s="17"/>
    </row>
    <row r="5" spans="2:14" ht="208.5" customHeight="1" x14ac:dyDescent="0.65">
      <c r="B5" s="86" t="s">
        <v>7</v>
      </c>
      <c r="C5" s="36" t="s">
        <v>8</v>
      </c>
      <c r="D5" s="37" t="s">
        <v>135</v>
      </c>
      <c r="E5" s="37" t="s">
        <v>136</v>
      </c>
      <c r="F5" s="37" t="s">
        <v>137</v>
      </c>
      <c r="G5" s="37" t="s">
        <v>138</v>
      </c>
      <c r="H5" s="38" t="s">
        <v>139</v>
      </c>
      <c r="I5" s="18"/>
      <c r="J5" s="18"/>
      <c r="K5" s="19">
        <v>3</v>
      </c>
      <c r="L5" s="18"/>
      <c r="M5" s="18"/>
      <c r="N5" s="20"/>
    </row>
    <row r="6" spans="2:14" ht="409.6" thickBot="1" x14ac:dyDescent="0.7">
      <c r="B6" s="87"/>
      <c r="C6" s="39" t="s">
        <v>9</v>
      </c>
      <c r="D6" s="40" t="s">
        <v>23</v>
      </c>
      <c r="E6" s="40" t="s">
        <v>24</v>
      </c>
      <c r="F6" s="40" t="s">
        <v>140</v>
      </c>
      <c r="G6" s="40" t="s">
        <v>25</v>
      </c>
      <c r="H6" s="41" t="s">
        <v>26</v>
      </c>
      <c r="I6" s="21"/>
      <c r="J6" s="21"/>
      <c r="K6" s="22">
        <v>3</v>
      </c>
      <c r="L6" s="21"/>
      <c r="M6" s="21"/>
      <c r="N6" s="23"/>
    </row>
    <row r="7" spans="2:14" ht="324" x14ac:dyDescent="0.65">
      <c r="B7" s="87"/>
      <c r="C7" s="42" t="s">
        <v>10</v>
      </c>
      <c r="D7" s="43" t="s">
        <v>27</v>
      </c>
      <c r="E7" s="43" t="s">
        <v>28</v>
      </c>
      <c r="F7" s="43" t="s">
        <v>29</v>
      </c>
      <c r="G7" s="43" t="s">
        <v>30</v>
      </c>
      <c r="H7" s="43" t="s">
        <v>31</v>
      </c>
      <c r="I7" s="21">
        <v>1</v>
      </c>
      <c r="J7" s="21"/>
      <c r="K7" s="22"/>
      <c r="L7" s="21"/>
      <c r="M7" s="21"/>
      <c r="N7" s="24"/>
    </row>
    <row r="8" spans="2:14" ht="180" x14ac:dyDescent="0.65">
      <c r="B8" s="87"/>
      <c r="C8" s="44" t="s">
        <v>11</v>
      </c>
      <c r="D8" s="66" t="s">
        <v>32</v>
      </c>
      <c r="E8" s="66" t="s">
        <v>129</v>
      </c>
      <c r="F8" s="66" t="s">
        <v>33</v>
      </c>
      <c r="G8" s="66" t="s">
        <v>34</v>
      </c>
      <c r="H8" s="66" t="s">
        <v>35</v>
      </c>
      <c r="I8" s="25"/>
      <c r="J8" s="25">
        <v>2</v>
      </c>
      <c r="K8" s="26"/>
      <c r="L8" s="25"/>
      <c r="M8" s="25"/>
      <c r="N8" s="23"/>
    </row>
    <row r="9" spans="2:14" ht="252.75" thickBot="1" x14ac:dyDescent="0.7">
      <c r="B9" s="88"/>
      <c r="C9" s="45" t="s">
        <v>12</v>
      </c>
      <c r="D9" s="46" t="s">
        <v>36</v>
      </c>
      <c r="E9" s="46" t="s">
        <v>37</v>
      </c>
      <c r="F9" s="46" t="s">
        <v>38</v>
      </c>
      <c r="G9" s="46" t="s">
        <v>39</v>
      </c>
      <c r="H9" s="46" t="s">
        <v>40</v>
      </c>
      <c r="I9" s="27">
        <v>1</v>
      </c>
      <c r="J9" s="27"/>
      <c r="K9" s="28"/>
      <c r="L9" s="27"/>
      <c r="M9" s="27"/>
      <c r="N9" s="29">
        <f>SUM(I5:M9)/5</f>
        <v>2</v>
      </c>
    </row>
    <row r="10" spans="2:14" ht="75.599999999999994" customHeight="1" x14ac:dyDescent="0.65">
      <c r="B10" s="89" t="s">
        <v>159</v>
      </c>
      <c r="C10" s="52" t="s">
        <v>199</v>
      </c>
      <c r="D10" s="59" t="s">
        <v>165</v>
      </c>
      <c r="E10" s="59" t="s">
        <v>166</v>
      </c>
      <c r="F10" s="59" t="s">
        <v>202</v>
      </c>
      <c r="G10" s="59" t="s">
        <v>201</v>
      </c>
      <c r="H10" s="59" t="s">
        <v>167</v>
      </c>
      <c r="I10" s="18"/>
      <c r="J10" s="18"/>
      <c r="K10" s="19"/>
      <c r="L10" s="18"/>
      <c r="M10" s="18">
        <v>5</v>
      </c>
      <c r="N10" s="31"/>
    </row>
    <row r="11" spans="2:14" ht="157.69999999999999" customHeight="1" thickBot="1" x14ac:dyDescent="0.7">
      <c r="B11" s="90"/>
      <c r="C11" s="77" t="s">
        <v>168</v>
      </c>
      <c r="D11" s="81" t="s">
        <v>164</v>
      </c>
      <c r="E11" s="81" t="s">
        <v>163</v>
      </c>
      <c r="F11" s="81" t="s">
        <v>160</v>
      </c>
      <c r="G11" s="81" t="s">
        <v>161</v>
      </c>
      <c r="H11" s="81" t="s">
        <v>162</v>
      </c>
      <c r="I11" s="78"/>
      <c r="J11" s="78"/>
      <c r="K11" s="79"/>
      <c r="L11" s="78"/>
      <c r="M11" s="78">
        <v>5</v>
      </c>
      <c r="N11" s="80">
        <f>SUM(I10:M11)/2</f>
        <v>5</v>
      </c>
    </row>
    <row r="12" spans="2:14" ht="153" customHeight="1" x14ac:dyDescent="0.65">
      <c r="B12" s="89" t="s">
        <v>6</v>
      </c>
      <c r="C12" s="47" t="s">
        <v>169</v>
      </c>
      <c r="D12" s="59" t="s">
        <v>41</v>
      </c>
      <c r="E12" s="59" t="s">
        <v>141</v>
      </c>
      <c r="F12" s="59" t="s">
        <v>42</v>
      </c>
      <c r="G12" s="59" t="s">
        <v>43</v>
      </c>
      <c r="H12" s="59" t="s">
        <v>44</v>
      </c>
      <c r="I12" s="18">
        <v>1</v>
      </c>
      <c r="J12" s="18"/>
      <c r="K12" s="19"/>
      <c r="L12" s="18"/>
      <c r="M12" s="18"/>
      <c r="N12" s="30"/>
    </row>
    <row r="13" spans="2:14" ht="252.75" thickBot="1" x14ac:dyDescent="0.7">
      <c r="B13" s="90"/>
      <c r="C13" s="48" t="s">
        <v>170</v>
      </c>
      <c r="D13" s="67" t="s">
        <v>45</v>
      </c>
      <c r="E13" s="67" t="s">
        <v>46</v>
      </c>
      <c r="F13" s="67" t="s">
        <v>47</v>
      </c>
      <c r="G13" s="67" t="s">
        <v>48</v>
      </c>
      <c r="H13" s="67" t="s">
        <v>49</v>
      </c>
      <c r="I13" s="27"/>
      <c r="J13" s="27"/>
      <c r="K13" s="28"/>
      <c r="L13" s="27">
        <v>4</v>
      </c>
      <c r="M13" s="27"/>
      <c r="N13" s="29">
        <f>SUM(I12:M13)/2</f>
        <v>2.5</v>
      </c>
    </row>
    <row r="14" spans="2:14" ht="324" x14ac:dyDescent="0.65">
      <c r="B14" s="89" t="s">
        <v>15</v>
      </c>
      <c r="C14" s="50" t="s">
        <v>171</v>
      </c>
      <c r="D14" s="68" t="s">
        <v>50</v>
      </c>
      <c r="E14" s="68" t="s">
        <v>51</v>
      </c>
      <c r="F14" s="68" t="s">
        <v>52</v>
      </c>
      <c r="G14" s="68" t="s">
        <v>53</v>
      </c>
      <c r="H14" s="68" t="s">
        <v>54</v>
      </c>
      <c r="I14" s="18"/>
      <c r="J14" s="18">
        <v>2</v>
      </c>
      <c r="K14" s="19"/>
      <c r="L14" s="18"/>
      <c r="M14" s="18"/>
      <c r="N14" s="31"/>
    </row>
    <row r="15" spans="2:14" ht="180" x14ac:dyDescent="0.65">
      <c r="B15" s="91"/>
      <c r="C15" s="51" t="s">
        <v>172</v>
      </c>
      <c r="D15" s="54" t="s">
        <v>55</v>
      </c>
      <c r="E15" s="54" t="s">
        <v>56</v>
      </c>
      <c r="F15" s="54" t="s">
        <v>57</v>
      </c>
      <c r="G15" s="54" t="s">
        <v>142</v>
      </c>
      <c r="H15" s="54" t="s">
        <v>130</v>
      </c>
      <c r="I15" s="21">
        <v>1</v>
      </c>
      <c r="J15" s="21"/>
      <c r="K15" s="22"/>
      <c r="L15" s="21"/>
      <c r="M15" s="21"/>
      <c r="N15" s="32"/>
    </row>
    <row r="16" spans="2:14" ht="288.75" thickBot="1" x14ac:dyDescent="0.7">
      <c r="B16" s="90"/>
      <c r="C16" s="48" t="s">
        <v>173</v>
      </c>
      <c r="D16" s="67" t="s">
        <v>143</v>
      </c>
      <c r="E16" s="67" t="s">
        <v>144</v>
      </c>
      <c r="F16" s="67" t="s">
        <v>145</v>
      </c>
      <c r="G16" s="67" t="s">
        <v>58</v>
      </c>
      <c r="H16" s="67" t="s">
        <v>59</v>
      </c>
      <c r="I16" s="27">
        <v>1</v>
      </c>
      <c r="J16" s="27"/>
      <c r="K16" s="28"/>
      <c r="L16" s="27"/>
      <c r="M16" s="27"/>
      <c r="N16" s="29">
        <f>SUM(I14:M16)/3</f>
        <v>1.3333333333333333</v>
      </c>
    </row>
    <row r="17" spans="2:14" ht="180" x14ac:dyDescent="0.65">
      <c r="B17" s="89" t="s">
        <v>16</v>
      </c>
      <c r="C17" s="52" t="s">
        <v>174</v>
      </c>
      <c r="D17" s="69" t="s">
        <v>60</v>
      </c>
      <c r="E17" s="69" t="s">
        <v>61</v>
      </c>
      <c r="F17" s="69" t="s">
        <v>62</v>
      </c>
      <c r="G17" s="69" t="s">
        <v>63</v>
      </c>
      <c r="H17" s="69" t="s">
        <v>64</v>
      </c>
      <c r="I17" s="18"/>
      <c r="J17" s="18">
        <v>2</v>
      </c>
      <c r="K17" s="19"/>
      <c r="L17" s="18"/>
      <c r="M17" s="18"/>
      <c r="N17" s="31"/>
    </row>
    <row r="18" spans="2:14" ht="144" x14ac:dyDescent="0.65">
      <c r="B18" s="91"/>
      <c r="C18" s="44" t="s">
        <v>175</v>
      </c>
      <c r="D18" s="70" t="s">
        <v>65</v>
      </c>
      <c r="E18" s="70" t="s">
        <v>66</v>
      </c>
      <c r="F18" s="70" t="s">
        <v>67</v>
      </c>
      <c r="G18" s="70" t="s">
        <v>68</v>
      </c>
      <c r="H18" s="70" t="s">
        <v>69</v>
      </c>
      <c r="I18" s="21">
        <v>1</v>
      </c>
      <c r="J18" s="21"/>
      <c r="K18" s="22"/>
      <c r="L18" s="21"/>
      <c r="M18" s="21"/>
      <c r="N18" s="32"/>
    </row>
    <row r="19" spans="2:14" ht="144.75" thickBot="1" x14ac:dyDescent="0.7">
      <c r="B19" s="90"/>
      <c r="C19" s="53" t="s">
        <v>176</v>
      </c>
      <c r="D19" s="55" t="s">
        <v>70</v>
      </c>
      <c r="E19" s="55" t="s">
        <v>71</v>
      </c>
      <c r="F19" s="55" t="s">
        <v>146</v>
      </c>
      <c r="G19" s="55" t="s">
        <v>72</v>
      </c>
      <c r="H19" s="55" t="s">
        <v>73</v>
      </c>
      <c r="I19" s="27">
        <v>1</v>
      </c>
      <c r="J19" s="27"/>
      <c r="K19" s="28"/>
      <c r="L19" s="27"/>
      <c r="M19" s="27"/>
      <c r="N19" s="29">
        <f>SUM(I17:M19)/3</f>
        <v>1.3333333333333333</v>
      </c>
    </row>
    <row r="20" spans="2:14" ht="180" x14ac:dyDescent="0.65">
      <c r="B20" s="89" t="s">
        <v>17</v>
      </c>
      <c r="C20" s="50" t="s">
        <v>177</v>
      </c>
      <c r="D20" s="68" t="s">
        <v>74</v>
      </c>
      <c r="E20" s="68" t="s">
        <v>75</v>
      </c>
      <c r="F20" s="68" t="s">
        <v>76</v>
      </c>
      <c r="G20" s="68" t="s">
        <v>77</v>
      </c>
      <c r="H20" s="68" t="s">
        <v>78</v>
      </c>
      <c r="I20" s="18"/>
      <c r="J20" s="18"/>
      <c r="K20" s="19"/>
      <c r="L20" s="18"/>
      <c r="M20" s="18">
        <v>5</v>
      </c>
      <c r="N20" s="31"/>
    </row>
    <row r="21" spans="2:14" ht="180" x14ac:dyDescent="0.65">
      <c r="B21" s="91"/>
      <c r="C21" s="51" t="s">
        <v>178</v>
      </c>
      <c r="D21" s="54" t="s">
        <v>79</v>
      </c>
      <c r="E21" s="54" t="s">
        <v>80</v>
      </c>
      <c r="F21" s="54" t="s">
        <v>204</v>
      </c>
      <c r="G21" s="54" t="s">
        <v>203</v>
      </c>
      <c r="H21" s="54" t="s">
        <v>81</v>
      </c>
      <c r="I21" s="21"/>
      <c r="J21" s="21"/>
      <c r="K21" s="22">
        <v>3</v>
      </c>
      <c r="L21" s="21"/>
      <c r="M21" s="21"/>
      <c r="N21" s="32"/>
    </row>
    <row r="22" spans="2:14" ht="108.75" thickBot="1" x14ac:dyDescent="0.7">
      <c r="B22" s="90"/>
      <c r="C22" s="48" t="s">
        <v>179</v>
      </c>
      <c r="D22" s="49" t="s">
        <v>82</v>
      </c>
      <c r="E22" s="67" t="s">
        <v>83</v>
      </c>
      <c r="F22" s="67" t="s">
        <v>84</v>
      </c>
      <c r="G22" s="67" t="s">
        <v>85</v>
      </c>
      <c r="H22" s="67" t="s">
        <v>86</v>
      </c>
      <c r="I22" s="27"/>
      <c r="J22" s="27"/>
      <c r="K22" s="28"/>
      <c r="L22" s="27"/>
      <c r="M22" s="27"/>
      <c r="N22" s="29">
        <f>SUM(I20:M22)/3</f>
        <v>2.6666666666666665</v>
      </c>
    </row>
    <row r="23" spans="2:14" ht="216.75" thickBot="1" x14ac:dyDescent="0.7">
      <c r="B23" s="76" t="s">
        <v>18</v>
      </c>
      <c r="C23" s="56" t="s">
        <v>180</v>
      </c>
      <c r="D23" s="71" t="s">
        <v>87</v>
      </c>
      <c r="E23" s="71" t="s">
        <v>88</v>
      </c>
      <c r="F23" s="71" t="s">
        <v>89</v>
      </c>
      <c r="G23" s="71" t="s">
        <v>90</v>
      </c>
      <c r="H23" s="71" t="s">
        <v>147</v>
      </c>
      <c r="I23" s="18"/>
      <c r="J23" s="18"/>
      <c r="K23" s="19"/>
      <c r="L23" s="18">
        <v>4</v>
      </c>
      <c r="M23" s="18"/>
      <c r="N23" s="82">
        <f>SUM(I23:M23)</f>
        <v>4</v>
      </c>
    </row>
    <row r="24" spans="2:14" ht="144" x14ac:dyDescent="0.65">
      <c r="B24" s="89" t="s">
        <v>19</v>
      </c>
      <c r="C24" s="56" t="s">
        <v>181</v>
      </c>
      <c r="D24" s="71" t="s">
        <v>94</v>
      </c>
      <c r="E24" s="71" t="s">
        <v>95</v>
      </c>
      <c r="F24" s="71" t="s">
        <v>96</v>
      </c>
      <c r="G24" s="71" t="s">
        <v>97</v>
      </c>
      <c r="H24" s="71" t="s">
        <v>98</v>
      </c>
      <c r="I24" s="18"/>
      <c r="J24" s="18"/>
      <c r="K24" s="19"/>
      <c r="L24" s="18"/>
      <c r="M24" s="18">
        <v>5</v>
      </c>
      <c r="N24" s="31"/>
    </row>
    <row r="25" spans="2:14" ht="180.75" thickBot="1" x14ac:dyDescent="0.7">
      <c r="B25" s="90"/>
      <c r="C25" s="57" t="s">
        <v>182</v>
      </c>
      <c r="D25" s="72" t="s">
        <v>99</v>
      </c>
      <c r="E25" s="72" t="s">
        <v>100</v>
      </c>
      <c r="F25" s="72" t="s">
        <v>148</v>
      </c>
      <c r="G25" s="72" t="s">
        <v>101</v>
      </c>
      <c r="H25" s="72" t="s">
        <v>149</v>
      </c>
      <c r="I25" s="27"/>
      <c r="J25" s="27"/>
      <c r="K25" s="28"/>
      <c r="L25" s="27"/>
      <c r="M25" s="27"/>
      <c r="N25" s="29">
        <f>SUM(I24:M25)/2</f>
        <v>2.5</v>
      </c>
    </row>
    <row r="26" spans="2:14" ht="216" x14ac:dyDescent="0.65">
      <c r="B26" s="89" t="s">
        <v>20</v>
      </c>
      <c r="C26" s="58" t="s">
        <v>183</v>
      </c>
      <c r="D26" s="59" t="s">
        <v>102</v>
      </c>
      <c r="E26" s="59" t="s">
        <v>91</v>
      </c>
      <c r="F26" s="59" t="s">
        <v>92</v>
      </c>
      <c r="G26" s="59" t="s">
        <v>93</v>
      </c>
      <c r="H26" s="59" t="s">
        <v>103</v>
      </c>
      <c r="I26" s="18">
        <v>1</v>
      </c>
      <c r="J26" s="18"/>
      <c r="K26" s="19"/>
      <c r="L26" s="18"/>
      <c r="M26" s="18"/>
      <c r="N26" s="31"/>
    </row>
    <row r="27" spans="2:14" ht="180" x14ac:dyDescent="0.65">
      <c r="B27" s="91"/>
      <c r="C27" s="60" t="s">
        <v>184</v>
      </c>
      <c r="D27" s="73" t="s">
        <v>104</v>
      </c>
      <c r="E27" s="73" t="s">
        <v>105</v>
      </c>
      <c r="F27" s="73" t="s">
        <v>106</v>
      </c>
      <c r="G27" s="73" t="s">
        <v>107</v>
      </c>
      <c r="H27" s="73" t="s">
        <v>131</v>
      </c>
      <c r="I27" s="25"/>
      <c r="J27" s="25">
        <v>2</v>
      </c>
      <c r="K27" s="26"/>
      <c r="L27" s="25"/>
      <c r="M27" s="25"/>
      <c r="N27" s="33"/>
    </row>
    <row r="28" spans="2:14" ht="108.75" thickBot="1" x14ac:dyDescent="0.7">
      <c r="B28" s="90"/>
      <c r="C28" s="48" t="s">
        <v>185</v>
      </c>
      <c r="D28" s="49" t="s">
        <v>108</v>
      </c>
      <c r="E28" s="49" t="s">
        <v>109</v>
      </c>
      <c r="F28" s="49" t="s">
        <v>110</v>
      </c>
      <c r="G28" s="49" t="s">
        <v>111</v>
      </c>
      <c r="H28" s="49" t="s">
        <v>112</v>
      </c>
      <c r="I28" s="27"/>
      <c r="J28" s="27"/>
      <c r="K28" s="28">
        <v>3</v>
      </c>
      <c r="L28" s="27"/>
      <c r="M28" s="27"/>
      <c r="N28" s="29">
        <f>SUM(I26:M28)/3</f>
        <v>2</v>
      </c>
    </row>
    <row r="29" spans="2:14" ht="180" x14ac:dyDescent="0.65">
      <c r="B29" s="91" t="s">
        <v>21</v>
      </c>
      <c r="C29" s="61" t="s">
        <v>13</v>
      </c>
      <c r="D29" s="74" t="s">
        <v>113</v>
      </c>
      <c r="E29" s="74" t="s">
        <v>150</v>
      </c>
      <c r="F29" s="74" t="s">
        <v>151</v>
      </c>
      <c r="G29" s="74" t="s">
        <v>152</v>
      </c>
      <c r="H29" s="74" t="s">
        <v>114</v>
      </c>
      <c r="I29" s="21">
        <v>1</v>
      </c>
      <c r="J29" s="21"/>
      <c r="K29" s="22"/>
      <c r="L29" s="21"/>
      <c r="M29" s="21"/>
      <c r="N29" s="32"/>
    </row>
    <row r="30" spans="2:14" ht="409.6" thickBot="1" x14ac:dyDescent="0.7">
      <c r="B30" s="90"/>
      <c r="C30" s="62" t="s">
        <v>132</v>
      </c>
      <c r="D30" s="75" t="s">
        <v>115</v>
      </c>
      <c r="E30" s="75" t="s">
        <v>116</v>
      </c>
      <c r="F30" s="75" t="s">
        <v>117</v>
      </c>
      <c r="G30" s="75" t="s">
        <v>118</v>
      </c>
      <c r="H30" s="75" t="s">
        <v>119</v>
      </c>
      <c r="I30" s="27"/>
      <c r="J30" s="27">
        <v>2</v>
      </c>
      <c r="K30" s="28"/>
      <c r="L30" s="27"/>
      <c r="M30" s="27"/>
      <c r="N30" s="29">
        <f>SUM(I29:M30)/2</f>
        <v>1.5</v>
      </c>
    </row>
    <row r="31" spans="2:14" ht="180.75" thickBot="1" x14ac:dyDescent="0.7">
      <c r="B31" s="83"/>
      <c r="C31" s="62" t="s">
        <v>14</v>
      </c>
      <c r="D31" s="75" t="s">
        <v>120</v>
      </c>
      <c r="E31" s="75" t="s">
        <v>121</v>
      </c>
      <c r="F31" s="75" t="s">
        <v>122</v>
      </c>
      <c r="G31" s="75" t="s">
        <v>123</v>
      </c>
      <c r="H31" s="75" t="s">
        <v>124</v>
      </c>
      <c r="I31" s="27"/>
      <c r="J31" s="27">
        <v>2</v>
      </c>
      <c r="K31" s="28"/>
      <c r="L31" s="27"/>
      <c r="M31" s="27"/>
      <c r="N31" s="29">
        <f>SUM(I31:M31)</f>
        <v>2</v>
      </c>
    </row>
    <row r="32" spans="2:14" ht="396" x14ac:dyDescent="0.65">
      <c r="B32" s="84" t="s">
        <v>22</v>
      </c>
      <c r="C32" s="61" t="s">
        <v>186</v>
      </c>
      <c r="D32" s="40" t="s">
        <v>153</v>
      </c>
      <c r="E32" s="63" t="s">
        <v>155</v>
      </c>
      <c r="F32" s="63" t="s">
        <v>156</v>
      </c>
      <c r="G32" s="63" t="s">
        <v>157</v>
      </c>
      <c r="H32" s="40" t="s">
        <v>154</v>
      </c>
      <c r="I32" s="21">
        <v>1</v>
      </c>
      <c r="J32" s="21"/>
      <c r="K32" s="22"/>
      <c r="L32" s="21"/>
      <c r="M32" s="21"/>
      <c r="N32" s="34"/>
    </row>
    <row r="33" spans="2:14" ht="409.6" thickBot="1" x14ac:dyDescent="0.7">
      <c r="B33" s="85"/>
      <c r="C33" s="62" t="s">
        <v>187</v>
      </c>
      <c r="D33" s="64" t="s">
        <v>125</v>
      </c>
      <c r="E33" s="64" t="s">
        <v>126</v>
      </c>
      <c r="F33" s="64" t="s">
        <v>127</v>
      </c>
      <c r="G33" s="65" t="s">
        <v>128</v>
      </c>
      <c r="H33" s="65" t="s">
        <v>158</v>
      </c>
      <c r="I33" s="27"/>
      <c r="J33" s="27">
        <v>2</v>
      </c>
      <c r="K33" s="28"/>
      <c r="L33" s="27"/>
      <c r="M33" s="27"/>
      <c r="N33" s="35">
        <f>SUM(I32:M33)/2</f>
        <v>1.5</v>
      </c>
    </row>
  </sheetData>
  <mergeCells count="20">
    <mergeCell ref="B1:C1"/>
    <mergeCell ref="I1:N1"/>
    <mergeCell ref="B3:B4"/>
    <mergeCell ref="C3:C4"/>
    <mergeCell ref="I3:M3"/>
    <mergeCell ref="D3:D4"/>
    <mergeCell ref="E3:E4"/>
    <mergeCell ref="F3:F4"/>
    <mergeCell ref="G3:G4"/>
    <mergeCell ref="H3:H4"/>
    <mergeCell ref="B32:B33"/>
    <mergeCell ref="B5:B9"/>
    <mergeCell ref="B12:B13"/>
    <mergeCell ref="B14:B16"/>
    <mergeCell ref="B17:B19"/>
    <mergeCell ref="B20:B22"/>
    <mergeCell ref="B26:B28"/>
    <mergeCell ref="B29:B30"/>
    <mergeCell ref="B24:B25"/>
    <mergeCell ref="B10:B11"/>
  </mergeCells>
  <pageMargins left="0.2" right="0" top="0.3" bottom="0.15748031496062992" header="0.26" footer="0.26"/>
  <pageSetup paperSize="9" scale="18" orientation="portrait" horizontalDpi="4294967293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15"/>
  <sheetViews>
    <sheetView topLeftCell="C4" zoomScale="120" zoomScaleNormal="120" workbookViewId="0">
      <selection activeCell="C4" sqref="C4"/>
    </sheetView>
  </sheetViews>
  <sheetFormatPr defaultColWidth="9" defaultRowHeight="22.5" x14ac:dyDescent="0.45"/>
  <cols>
    <col min="1" max="1" width="9" style="1"/>
    <col min="2" max="2" width="59.125" style="1" customWidth="1"/>
    <col min="3" max="3" width="13.5" style="1" customWidth="1"/>
    <col min="4" max="4" width="9" style="1"/>
    <col min="5" max="5" width="50.875" style="1" customWidth="1"/>
    <col min="6" max="16384" width="9" style="1"/>
  </cols>
  <sheetData>
    <row r="1" spans="2:3" s="5" customFormat="1" ht="30.75" customHeight="1" x14ac:dyDescent="0.55000000000000004">
      <c r="B1" s="4" t="s">
        <v>134</v>
      </c>
    </row>
    <row r="2" spans="2:3" s="3" customFormat="1" ht="23.25" x14ac:dyDescent="0.5">
      <c r="B2" s="6" t="s">
        <v>4</v>
      </c>
      <c r="C2" s="6" t="s">
        <v>5</v>
      </c>
    </row>
    <row r="3" spans="2:3" x14ac:dyDescent="0.45">
      <c r="B3" s="2" t="s">
        <v>133</v>
      </c>
      <c r="C3" s="7">
        <f>หัวข้อประเมิน!N9</f>
        <v>2</v>
      </c>
    </row>
    <row r="4" spans="2:3" x14ac:dyDescent="0.45">
      <c r="B4" s="2" t="s">
        <v>188</v>
      </c>
      <c r="C4" s="7">
        <f>หัวข้อประเมิน!N11</f>
        <v>5</v>
      </c>
    </row>
    <row r="5" spans="2:3" x14ac:dyDescent="0.45">
      <c r="B5" s="2" t="s">
        <v>189</v>
      </c>
      <c r="C5" s="7">
        <f>หัวข้อประเมิน!N13</f>
        <v>2.5</v>
      </c>
    </row>
    <row r="6" spans="2:3" x14ac:dyDescent="0.45">
      <c r="B6" s="2" t="s">
        <v>190</v>
      </c>
      <c r="C6" s="7">
        <f>หัวข้อประเมิน!N16</f>
        <v>1.3333333333333333</v>
      </c>
    </row>
    <row r="7" spans="2:3" x14ac:dyDescent="0.45">
      <c r="B7" s="2" t="s">
        <v>191</v>
      </c>
      <c r="C7" s="7">
        <f>หัวข้อประเมิน!N19</f>
        <v>1.3333333333333333</v>
      </c>
    </row>
    <row r="8" spans="2:3" x14ac:dyDescent="0.45">
      <c r="B8" s="2" t="s">
        <v>192</v>
      </c>
      <c r="C8" s="7">
        <f>หัวข้อประเมิน!N22</f>
        <v>2.6666666666666665</v>
      </c>
    </row>
    <row r="9" spans="2:3" x14ac:dyDescent="0.45">
      <c r="B9" s="2" t="s">
        <v>193</v>
      </c>
      <c r="C9" s="7">
        <f>หัวข้อประเมิน!N23</f>
        <v>4</v>
      </c>
    </row>
    <row r="10" spans="2:3" x14ac:dyDescent="0.45">
      <c r="B10" s="2" t="s">
        <v>194</v>
      </c>
      <c r="C10" s="7">
        <f>หัวข้อประเมิน!N25</f>
        <v>2.5</v>
      </c>
    </row>
    <row r="11" spans="2:3" x14ac:dyDescent="0.45">
      <c r="B11" s="2" t="s">
        <v>195</v>
      </c>
      <c r="C11" s="7">
        <f>หัวข้อประเมิน!N28</f>
        <v>2</v>
      </c>
    </row>
    <row r="12" spans="2:3" x14ac:dyDescent="0.45">
      <c r="B12" s="2" t="s">
        <v>196</v>
      </c>
      <c r="C12" s="7">
        <f>หัวข้อประเมิน!N30</f>
        <v>1.5</v>
      </c>
    </row>
    <row r="13" spans="2:3" x14ac:dyDescent="0.45">
      <c r="B13" s="2" t="s">
        <v>197</v>
      </c>
      <c r="C13" s="7">
        <f>หัวข้อประเมิน!N31</f>
        <v>2</v>
      </c>
    </row>
    <row r="14" spans="2:3" x14ac:dyDescent="0.45">
      <c r="B14" s="2" t="s">
        <v>198</v>
      </c>
      <c r="C14" s="7">
        <f>หัวข้อประเมิน!N33</f>
        <v>1.5</v>
      </c>
    </row>
    <row r="15" spans="2:3" x14ac:dyDescent="0.45">
      <c r="C15" s="7">
        <f>AVERAGE(C3:C14)</f>
        <v>2.3611111111111112</v>
      </c>
    </row>
  </sheetData>
  <pageMargins left="0.7" right="0.7" top="0.75" bottom="0.75" header="0.3" footer="0.3"/>
  <pageSetup paperSize="9" scale="67" orientation="landscape" horizontalDpi="4294967293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หัวข้อประเมิน</vt:lpstr>
      <vt:lpstr>สรุป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cp:lastPrinted>2016-02-22T15:12:44Z</cp:lastPrinted>
  <dcterms:created xsi:type="dcterms:W3CDTF">2014-01-27T01:56:19Z</dcterms:created>
  <dcterms:modified xsi:type="dcterms:W3CDTF">2026-03-09T03:45:49Z</dcterms:modified>
</cp:coreProperties>
</file>